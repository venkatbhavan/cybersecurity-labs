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Risk Register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<sst xmlns="http://schemas.openxmlformats.org/spreadsheetml/2006/main" count="163" uniqueCount="127">
  <si>
    <t xml:space="preserve">EventCraft — Information Security Risk Register</t>
  </si>
  <si>
    <t xml:space="preserve">ISO/IEC 27001:2022-aligned risk assessment, self-directed portfolio project</t>
  </si>
  <si>
    <t xml:space="preserve">Scope &amp; Subject</t>
  </si>
  <si>
    <t xml:space="preserve">This risk register assesses EventCraft, a role-based event management platform built for the Fulda University community as part of the Master Team Project (GDSD program, Hochschule Fulda, Fall/Winter 2025). The assessment is based on the platform's actual documented architecture: React 19 + Tailwind CSS frontend, NestJS + Prisma backend, MySQL database, Socket.IO real-time chat, all containerized with Docker behind Nginx on a single Azure VM.</t>
  </si>
  <si>
    <t xml:space="preserve">Methodology</t>
  </si>
  <si>
    <t xml:space="preserve">Risks were identified from the platform's documented data entities, authentication/authorization design, and known architectural decisions (see Milestone 2 and Milestone 4 project documents). Each risk is scored using a 5x5 Likelihood x Impact matrix (1=lowest, 5=highest), consistent with common ISO/IEC 27005 risk-assessment practice referenced by ISO/IEC 27001 Clause 6.1.2. Risk Score = Likelihood x Impact. Existing controls are drawn from the platform's actual implementation where documented (e.g., bcrypt password hashing, NestJS ValidationPipe, CORS whitelisting); items marked 'Unverified' or 'Not documented' reflect genuine gaps in available evidence, not assumed controls.</t>
  </si>
  <si>
    <t xml:space="preserve">Risk Scoring Legend</t>
  </si>
  <si>
    <t xml:space="preserve">Risk Score 15-25 = High   |   Risk Score 8-14 = Medium   |   Risk Score 1-7 = Low</t>
  </si>
  <si>
    <t xml:space="preserve">Author &amp; Purpose</t>
  </si>
  <si>
    <t xml:space="preserve">Prepared by Venkat Bhavan Tati as a self-directed application of ISO/IEC 27001 risk management concepts to a real system, alongside ongoing PortSwigger Web Security Academy and hands-on lab practice. This is an independent learning exercise, not an official audit of EventCraft or an endorsement by the EventCraft project team.</t>
  </si>
  <si>
    <t xml:space="preserve">Related documents</t>
  </si>
  <si>
    <t xml:space="preserve">- Risk Register (this workbook, 'Risk Register' tab)</t>
  </si>
  <si>
    <t xml:space="preserve">- NIS2 Applicability Note (separate document)</t>
  </si>
  <si>
    <t xml:space="preserve">- EventCraft Web Application &amp; Network Pentest Report (separate document, in progress)</t>
  </si>
  <si>
    <t xml:space="preserve">Risk ID</t>
  </si>
  <si>
    <t xml:space="preserve">Asset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</si>
  <si>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</si>
  <si>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</si>
  <si>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</si>
  <si>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</si>
  <si>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Risk Score</t>
  </si>
  <si>
    <t xml:space="preserve">Risk Level</t>
  </si>
  <si>
    <t xml:space="preserve">Existing Controls</t>
  </si>
  <si>
    <t xml:space="preserve">Residual Risk</t>
  </si>
  <si>
    <t xml:space="preserve">Treatment Plan</t>
  </si>
  <si>
    <t xml:space="preserve">Owner</t>
  </si>
  <si>
    <t xml:space="preserve">Status</t>
  </si>
  <si>
    <t xml:space="preserve">R-01</t>
  </si>
  <si>
    <t xml:space="preserve">Azure VM (single instance hosting frontend, backend, DB)</t>
  </si>
  <si>
    <t xml:space="preserve">Service outage / denial of service</t>
  </si>
  <si>
    <t xml:space="preserve">No redundancy or failover; single point of failure for entire platform</t>
  </si>
  <si>
    <t xml:space="preserve">Docker containerization; Nginx reverse proxy</t>
  </si>
  <si>
    <t xml:space="preserve">High</t>
  </si>
  <si>
    <t xml:space="preserve">Add load balancer and secondary instance, or migrate database to a managed service</t>
  </si>
  <si>
    <t xml:space="preserve">Infrastructure Team</t>
  </si>
  <si>
    <t xml:space="preserve">Open</t>
  </si>
  <si>
    <t xml:space="preserve">R-02</t>
  </si>
  <si>
    <t xml:space="preserve">MySQL database (Users, Events, Reviews, Loyalty Points)</t>
  </si>
  <si>
    <t xml:space="preserve">Unauthorized data access / data breach</t>
  </si>
  <si>
    <t xml:space="preserve">Database co-hosted on application VM; protected only by credentials, not network isolation</t>
  </si>
  <si>
    <t xml:space="preserve">bcrypt password hashing (cost factor 10); DB access restricted to defined ports</t>
  </si>
  <si>
    <t xml:space="preserve">Medium</t>
  </si>
  <si>
    <t xml:space="preserve">Enable encryption at rest; restrict DB port to internal network only; rotate credentials on a schedule</t>
  </si>
  <si>
    <t xml:space="preserve">Backend Lead</t>
  </si>
  <si>
    <t xml:space="preserve">Partially Mitigated</t>
  </si>
  <si>
    <t xml:space="preserve">R-03</t>
  </si>
  <si>
    <t xml:space="preserve">User authentication (JWT via Passport.js)</t>
  </si>
  <si>
    <t xml:space="preserve">Session hijacking / token theft</t>
  </si>
  <si>
    <t xml:space="preserve">Intercepted or long-lived JWTs could allow account takeover</t>
  </si>
  <si>
    <t xml:space="preserve">JwtAuthGuard on protected endpoints; Passport.js JWT strategy</t>
  </si>
  <si>
    <t xml:space="preserve">Add short token expiry with refresh-token rotation; enforce HTTPS on all endpoints</t>
  </si>
  <si>
    <t xml:space="preserve">R-04</t>
  </si>
  <si>
    <t xml:space="preserve">Password storage</t>
  </si>
  <si>
    <t xml:space="preserve">Credential compromise via offline cracking</t>
  </si>
  <si>
    <t xml:space="preserve">Weak hashing could allow rainbow-table or brute-force attacks if DB is exfiltrated</t>
  </si>
  <si>
    <t xml:space="preserve">bcryptjs, cost factor 10; hashes never exposed in API responses</t>
  </si>
  <si>
    <t xml:space="preserve">Low</t>
  </si>
  <si>
    <t xml:space="preserve">Review hashing cost factor periodically as available compute increases</t>
  </si>
  <si>
    <t xml:space="preserve">Backend Team</t>
  </si>
  <si>
    <t xml:space="preserve">Mitigated</t>
  </si>
  <si>
    <t xml:space="preserve">R-05</t>
  </si>
  <si>
    <t xml:space="preserve">Event banner file uploads</t>
  </si>
  <si>
    <t xml:space="preserve">Malicious file upload (web shell / RCE)</t>
  </si>
  <si>
    <t xml:space="preserve">Insufficient validation could allow upload of executable content</t>
  </si>
  <si>
    <t xml:space="preserve">MIME-type validation (JPEG/PNG/WebP only); 5MB size limit; UUID filenames prevent path traversal</t>
  </si>
  <si>
    <t xml:space="preserve">Add malware/antivirus scanning on upload; store uploads outside the web root</t>
  </si>
  <si>
    <t xml:space="preserve">R-06</t>
  </si>
  <si>
    <t xml:space="preserve">Real-time chat (Socket.IO, ChatGroup/ChatGroupMember)</t>
  </si>
  <si>
    <t xml:space="preserve">Unauthorized access to private or event chats</t>
  </si>
  <si>
    <t xml:space="preserve">Namespace or room misconfiguration could expose chat contents to non-members</t>
  </si>
  <si>
    <t xml:space="preserve">RBAC enforcement; ChatGroupMember functions as an explicit access list</t>
  </si>
  <si>
    <t xml:space="preserve">Periodic access-list audits; targeted testing of chat authorization logic</t>
  </si>
  <si>
    <t xml:space="preserve">R-07</t>
  </si>
  <si>
    <t xml:space="preserve">Admin panel / Role-Based Access Control</t>
  </si>
  <si>
    <t xml:space="preserve">Privilege escalation (Participant/EventOwner reaching Admin functions)</t>
  </si>
  <si>
    <t xml:space="preserve">Broken access control if role checks are enforced client-side only, not server-side</t>
  </si>
  <si>
    <t xml:space="preserve">Server-side RBAC via NestJS guards (per architecture docs; not independently verified)</t>
  </si>
  <si>
    <t xml:space="preserve">Medium (unverified)</t>
  </si>
  <si>
    <t xml:space="preserve">Formal penetration test of all admin endpoints to confirm server-side enforcement (see Pentest Report)</t>
  </si>
  <si>
    <t xml:space="preserve">Open — pending verification</t>
  </si>
  <si>
    <t xml:space="preserve">R-08</t>
  </si>
  <si>
    <t xml:space="preserve">Third-party AI banner generation integration</t>
  </si>
  <si>
    <t xml:space="preserve">Data leakage to external service / prompt injection</t>
  </si>
  <si>
    <t xml:space="preserve">Event title and description are sent to an external generative-AI API; data handling not documented</t>
  </si>
  <si>
    <t xml:space="preserve">Not documented in available project materials</t>
  </si>
  <si>
    <t xml:space="preserve">Review the AI provider's data handling and retention policy; document the data flow</t>
  </si>
  <si>
    <t xml:space="preserve">Team Lead</t>
  </si>
  <si>
    <t xml:space="preserve">R-09</t>
  </si>
  <si>
    <t xml:space="preserve">CORS configuration</t>
  </si>
  <si>
    <t xml:space="preserve">Unauthorized cross-origin requests</t>
  </si>
  <si>
    <t xml:space="preserve">A misconfigured allow-list could let malicious sites call the API on a victim's behalf</t>
  </si>
  <si>
    <t xml:space="preserve">Explicit origin whitelisting via CORS_ORIGINS environment variable</t>
  </si>
  <si>
    <t xml:space="preserve">Review whitelist entries at each deployment; alert on whitelist changes</t>
  </si>
  <si>
    <t xml:space="preserve">R-10</t>
  </si>
  <si>
    <t xml:space="preserve">API input validation (event/review submissions)</t>
  </si>
  <si>
    <t xml:space="preserve">Injection attacks (SQL injection, stored XSS)</t>
  </si>
  <si>
    <t xml:space="preserve">Unvalidated user input on event, review, or profile fields</t>
  </si>
  <si>
    <t xml:space="preserve">NestJS global ValidationPipe; class-validator DTOs; Prisma ORM uses parameterized queries</t>
  </si>
  <si>
    <t xml:space="preserve">Add automated SAST scanning to the CI/CD pipeline</t>
  </si>
  <si>
    <t xml:space="preserve">R-11</t>
  </si>
  <si>
    <t xml:space="preserve">GitHub repository / CI-CD pipeline</t>
  </si>
  <si>
    <t xml:space="preserve">Supply chain compromise / leaked secrets</t>
  </si>
  <si>
    <t xml:space="preserve">A misconfigured or overly public repo could expose source code, secrets, or accept malicious commits</t>
  </si>
  <si>
    <t xml:space="preserve">Secrets kept in environment variables, enforced via code review (see PR history on api.js); separate dev/main CI-CD branches</t>
  </si>
  <si>
    <t xml:space="preserve">Add automated secret-scanning (e.g., gitleaks) to the CI pipeline</t>
  </si>
  <si>
    <t xml:space="preserve">GitHub Master</t>
  </si>
  <si>
    <t xml:space="preserve">R-12</t>
  </si>
  <si>
    <t xml:space="preserve">QR code check-in / attendance data</t>
  </si>
  <si>
    <t xml:space="preserve">Forged or replayed QR codes</t>
  </si>
  <si>
    <t xml:space="preserve">A predictable qr_check_in_token could allow attendance fraud</t>
  </si>
  <si>
    <t xml:space="preserve">Unique qr_check_in_token issued per participation record</t>
  </si>
  <si>
    <t xml:space="preserve">Verify token randomness/entropy; add expiry once the event has ended</t>
  </si>
  <si>
    <t xml:space="preserve">R-13</t>
  </si>
  <si>
    <t xml:space="preserve">Loyalty points / shop redemption</t>
  </si>
  <si>
    <t xml:space="preserve">Business logic abuse (race condition, double-spend)</t>
  </si>
  <si>
    <t xml:space="preserve">Concurrent redemption requests could exploit a check-then-act gap in balance logic</t>
  </si>
  <si>
    <t xml:space="preserve">Balance re-fetched inside the database transaction before deduction (per code review comments)</t>
  </si>
  <si>
    <t xml:space="preserve">Add automated tests for concurrent redemption scenarios</t>
  </si>
  <si>
    <t xml:space="preserve">R-14</t>
  </si>
  <si>
    <t xml:space="preserve">Notification system</t>
  </si>
  <si>
    <t xml:space="preserve">Notification spoofing or spam / flooding</t>
  </si>
  <si>
    <t xml:space="preserve">No documented rate limiting on notification-triggering endpoints</t>
  </si>
  <si>
    <t xml:space="preserve">Add rate limiting on endpoints that trigger notifications</t>
  </si>
  <si>
    <t xml:space="preserve">EventCraft Risk Register — Summary</t>
  </si>
  <si>
    <t xml:space="preserve">Total risks identified</t>
  </si>
  <si>
    <t xml:space="preserve">By Risk Level</t>
  </si>
  <si>
    <t xml:space="preserve">By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</si>
</sst>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75" hidden="false" customHeight="tru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05" hidden="false" customHeight="tru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60" hidden="false" customHeight="true" outlineLevel="0" collapsed="false">
      <c r="A14" s="2" t="s">
        <v>9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10</v>
      </c>
    </row>
    <row r="17" customFormat="false" ht="15" hidden="false" customHeight="true" outlineLevel="0" collapsed="false">
      <c r="A17" s="2" t="s">
        <v>11</v>
      </c>
    </row>
    <row r="18" customFormat="false" ht="15" hidden="false" customHeight="true" outlineLevel="0" collapsed="false">
      <c r="A18" s="2" t="s">
        <v>12</v>
      </c>
    </row>
    <row r="19" customFormat="false" ht="15" hidden="false" customHeight="true" outlineLevel="0" collapsed="false">
      <c r="A19" s="2" t="s">
        <v>13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2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36"/>
    <col collapsed="false" customWidth="true" hidden="false" outlineLevel="0" max="10" min="10" style="0" width="13"/>
    <col collapsed="false" customWidth="true" hidden="false" outlineLevel="0" max="11" min="11" style="0" width="38"/>
    <col collapsed="false" customWidth="true" hidden="false" outlineLevel="0" max="12" min="12" style="0" width="16"/>
    <col collapsed="false" customWidth="true" hidden="false" outlineLevel="0" max="13" min="13" style="0" width="20"/>
  </cols>
  <sheetData>
    <row r="1" customFormat="false" ht="23.8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</row>
    <row r="2" customFormat="false" ht="45" hidden="false" customHeight="true" outlineLevel="0" collapsed="false">
      <c r="A2" s="6" t="s">
        <v>27</v>
      </c>
      <c r="B2" s="7" t="s">
        <v>28</v>
      </c>
      <c r="C2" s="7" t="s">
        <v>29</v>
      </c>
      <c r="D2" s="7" t="s">
        <v>30</v>
      </c>
      <c r="E2" s="6" t="n">
        <v>3</v>
      </c>
      <c r="F2" s="6" t="n">
        <v>4</v>
      </c>
      <c r="G2" s="6" t="n">
        <f aca="false">E2*F2</f>
        <v>12</v>
      </c>
      <c r="H2" s="6" t="str">
        <f aca="false">IF(G2&gt;=15,"High",IF(G2&gt;=8,"Medium","Low"))</f>
        <v>Medium</v>
      </c>
      <c r="I2" s="7" t="s">
        <v>31</v>
      </c>
      <c r="J2" s="6" t="s">
        <v>32</v>
      </c>
      <c r="K2" s="7" t="s">
        <v>33</v>
      </c>
      <c r="L2" s="6" t="s">
        <v>34</v>
      </c>
      <c r="M2" s="6" t="s">
        <v>35</v>
      </c>
    </row>
    <row r="3" customFormat="false" ht="45" hidden="false" customHeight="true" outlineLevel="0" collapsed="false">
      <c r="A3" s="6" t="s">
        <v>36</v>
      </c>
      <c r="B3" s="7" t="s">
        <v>37</v>
      </c>
      <c r="C3" s="7" t="s">
        <v>38</v>
      </c>
      <c r="D3" s="7" t="s">
        <v>39</v>
      </c>
      <c r="E3" s="6" t="n">
        <v>3</v>
      </c>
      <c r="F3" s="6" t="n">
        <v>5</v>
      </c>
      <c r="G3" s="6" t="n">
        <f aca="false">E3*F3</f>
        <v>15</v>
      </c>
      <c r="H3" s="6" t="str">
        <f aca="false">IF(G3&gt;=15,"High",IF(G3&gt;=8,"Medium","Low"))</f>
        <v>High</v>
      </c>
      <c r="I3" s="7" t="s">
        <v>40</v>
      </c>
      <c r="J3" s="6" t="s">
        <v>41</v>
      </c>
      <c r="K3" s="7" t="s">
        <v>42</v>
      </c>
      <c r="L3" s="6" t="s">
        <v>43</v>
      </c>
      <c r="M3" s="6" t="s">
        <v>44</v>
      </c>
    </row>
    <row r="4" customFormat="false" ht="45" hidden="false" customHeight="true" outlineLevel="0" collapsed="false">
      <c r="A4" s="6" t="s">
        <v>45</v>
      </c>
      <c r="B4" s="7" t="s">
        <v>46</v>
      </c>
      <c r="C4" s="7" t="s">
        <v>47</v>
      </c>
      <c r="D4" s="7" t="s">
        <v>48</v>
      </c>
      <c r="E4" s="6" t="n">
        <v>2</v>
      </c>
      <c r="F4" s="6" t="n">
        <v>4</v>
      </c>
      <c r="G4" s="6" t="n">
        <f aca="false">E4*F4</f>
        <v>8</v>
      </c>
      <c r="H4" s="6" t="str">
        <f aca="false">IF(G4&gt;=15,"High",IF(G4&gt;=8,"Medium","Low"))</f>
        <v>Medium</v>
      </c>
      <c r="I4" s="7" t="s">
        <v>49</v>
      </c>
      <c r="J4" s="6" t="s">
        <v>41</v>
      </c>
      <c r="K4" s="7" t="s">
        <v>50</v>
      </c>
      <c r="L4" s="6" t="s">
        <v>43</v>
      </c>
      <c r="M4" s="6" t="s">
        <v>44</v>
      </c>
    </row>
    <row r="5" customFormat="false" ht="45" hidden="false" customHeight="true" outlineLevel="0" collapsed="false">
      <c r="A5" s="6" t="s">
        <v>51</v>
      </c>
      <c r="B5" s="7" t="s">
        <v>52</v>
      </c>
      <c r="C5" s="7" t="s">
        <v>53</v>
      </c>
      <c r="D5" s="7" t="s">
        <v>54</v>
      </c>
      <c r="E5" s="6" t="n">
        <v>2</v>
      </c>
      <c r="F5" s="6" t="n">
        <v>5</v>
      </c>
      <c r="G5" s="6" t="n">
        <f aca="false">E5*F5</f>
        <v>10</v>
      </c>
      <c r="H5" s="6" t="str">
        <f aca="false">IF(G5&gt;=15,"High",IF(G5&gt;=8,"Medium","Low"))</f>
        <v>Medium</v>
      </c>
      <c r="I5" s="7" t="s">
        <v>55</v>
      </c>
      <c r="J5" s="6" t="s">
        <v>56</v>
      </c>
      <c r="K5" s="7" t="s">
        <v>57</v>
      </c>
      <c r="L5" s="6" t="s">
        <v>58</v>
      </c>
      <c r="M5" s="6" t="s">
        <v>59</v>
      </c>
    </row>
    <row r="6" customFormat="false" ht="45" hidden="false" customHeight="true" outlineLevel="0" collapsed="false">
      <c r="A6" s="6" t="s">
        <v>60</v>
      </c>
      <c r="B6" s="7" t="s">
        <v>61</v>
      </c>
      <c r="C6" s="7" t="s">
        <v>62</v>
      </c>
      <c r="D6" s="7" t="s">
        <v>63</v>
      </c>
      <c r="E6" s="6" t="n">
        <v>2</v>
      </c>
      <c r="F6" s="6" t="n">
        <v>4</v>
      </c>
      <c r="G6" s="6" t="n">
        <f aca="false">E6*F6</f>
        <v>8</v>
      </c>
      <c r="H6" s="6" t="str">
        <f aca="false">IF(G6&gt;=15,"High",IF(G6&gt;=8,"Medium","Low"))</f>
        <v>Medium</v>
      </c>
      <c r="I6" s="7" t="s">
        <v>64</v>
      </c>
      <c r="J6" s="6" t="s">
        <v>56</v>
      </c>
      <c r="K6" s="7" t="s">
        <v>65</v>
      </c>
      <c r="L6" s="6" t="s">
        <v>58</v>
      </c>
      <c r="M6" s="6" t="s">
        <v>59</v>
      </c>
    </row>
    <row r="7" customFormat="false" ht="45" hidden="false" customHeight="true" outlineLevel="0" collapsed="false">
      <c r="A7" s="6" t="s">
        <v>66</v>
      </c>
      <c r="B7" s="7" t="s">
        <v>67</v>
      </c>
      <c r="C7" s="7" t="s">
        <v>68</v>
      </c>
      <c r="D7" s="7" t="s">
        <v>69</v>
      </c>
      <c r="E7" s="6" t="n">
        <v>2</v>
      </c>
      <c r="F7" s="6" t="n">
        <v>3</v>
      </c>
      <c r="G7" s="6" t="n">
        <f aca="false">E7*F7</f>
        <v>6</v>
      </c>
      <c r="H7" s="6" t="str">
        <f aca="false">IF(G7&gt;=15,"High",IF(G7&gt;=8,"Medium","Low"))</f>
        <v>Low</v>
      </c>
      <c r="I7" s="7" t="s">
        <v>70</v>
      </c>
      <c r="J7" s="6" t="s">
        <v>56</v>
      </c>
      <c r="K7" s="7" t="s">
        <v>71</v>
      </c>
      <c r="L7" s="6" t="s">
        <v>43</v>
      </c>
      <c r="M7" s="6" t="s">
        <v>59</v>
      </c>
    </row>
    <row r="8" customFormat="false" ht="45" hidden="false" customHeight="true" outlineLevel="0" collapsed="false">
      <c r="A8" s="6" t="s">
        <v>72</v>
      </c>
      <c r="B8" s="7" t="s">
        <v>73</v>
      </c>
      <c r="C8" s="7" t="s">
        <v>74</v>
      </c>
      <c r="D8" s="7" t="s">
        <v>75</v>
      </c>
      <c r="E8" s="6" t="n">
        <v>3</v>
      </c>
      <c r="F8" s="6" t="n">
        <v>5</v>
      </c>
      <c r="G8" s="6" t="n">
        <f aca="false">E8*F8</f>
        <v>15</v>
      </c>
      <c r="H8" s="6" t="str">
        <f aca="false">IF(G8&gt;=15,"High",IF(G8&gt;=8,"Medium","Low"))</f>
        <v>High</v>
      </c>
      <c r="I8" s="7" t="s">
        <v>76</v>
      </c>
      <c r="J8" s="6" t="s">
        <v>77</v>
      </c>
      <c r="K8" s="7" t="s">
        <v>78</v>
      </c>
      <c r="L8" s="6" t="s">
        <v>43</v>
      </c>
      <c r="M8" s="6" t="s">
        <v>79</v>
      </c>
    </row>
    <row r="9" customFormat="false" ht="45" hidden="false" customHeight="true" outlineLevel="0" collapsed="false">
      <c r="A9" s="6" t="s">
        <v>80</v>
      </c>
      <c r="B9" s="7" t="s">
        <v>81</v>
      </c>
      <c r="C9" s="7" t="s">
        <v>82</v>
      </c>
      <c r="D9" s="7" t="s">
        <v>83</v>
      </c>
      <c r="E9" s="6" t="n">
        <v>2</v>
      </c>
      <c r="F9" s="6" t="n">
        <v>2</v>
      </c>
      <c r="G9" s="6" t="n">
        <f aca="false">E9*F9</f>
        <v>4</v>
      </c>
      <c r="H9" s="6" t="str">
        <f aca="false">IF(G9&gt;=15,"High",IF(G9&gt;=8,"Medium","Low"))</f>
        <v>Low</v>
      </c>
      <c r="I9" s="7" t="s">
        <v>84</v>
      </c>
      <c r="J9" s="6" t="s">
        <v>41</v>
      </c>
      <c r="K9" s="7" t="s">
        <v>85</v>
      </c>
      <c r="L9" s="6" t="s">
        <v>86</v>
      </c>
      <c r="M9" s="6" t="s">
        <v>35</v>
      </c>
    </row>
    <row r="10" customFormat="false" ht="45" hidden="false" customHeight="true" outlineLevel="0" collapsed="false">
      <c r="A10" s="6" t="s">
        <v>87</v>
      </c>
      <c r="B10" s="7" t="s">
        <v>88</v>
      </c>
      <c r="C10" s="7" t="s">
        <v>89</v>
      </c>
      <c r="D10" s="7" t="s">
        <v>90</v>
      </c>
      <c r="E10" s="6" t="n">
        <v>2</v>
      </c>
      <c r="F10" s="6" t="n">
        <v>3</v>
      </c>
      <c r="G10" s="6" t="n">
        <f aca="false">E10*F10</f>
        <v>6</v>
      </c>
      <c r="H10" s="6" t="str">
        <f aca="false">IF(G10&gt;=15,"High",IF(G10&gt;=8,"Medium","Low"))</f>
        <v>Low</v>
      </c>
      <c r="I10" s="7" t="s">
        <v>91</v>
      </c>
      <c r="J10" s="6" t="s">
        <v>56</v>
      </c>
      <c r="K10" s="7" t="s">
        <v>92</v>
      </c>
      <c r="L10" s="6" t="s">
        <v>58</v>
      </c>
      <c r="M10" s="6" t="s">
        <v>59</v>
      </c>
    </row>
    <row r="11" customFormat="false" ht="45" hidden="false" customHeight="true" outlineLevel="0" collapsed="false">
      <c r="A11" s="6" t="s">
        <v>93</v>
      </c>
      <c r="B11" s="7" t="s">
        <v>94</v>
      </c>
      <c r="C11" s="7" t="s">
        <v>95</v>
      </c>
      <c r="D11" s="7" t="s">
        <v>96</v>
      </c>
      <c r="E11" s="6" t="n">
        <v>2</v>
      </c>
      <c r="F11" s="6" t="n">
        <v>4</v>
      </c>
      <c r="G11" s="6" t="n">
        <f aca="false">E11*F11</f>
        <v>8</v>
      </c>
      <c r="H11" s="6" t="str">
        <f aca="false">IF(G11&gt;=15,"High",IF(G11&gt;=8,"Medium","Low"))</f>
        <v>Medium</v>
      </c>
      <c r="I11" s="7" t="s">
        <v>97</v>
      </c>
      <c r="J11" s="6" t="s">
        <v>56</v>
      </c>
      <c r="K11" s="7" t="s">
        <v>98</v>
      </c>
      <c r="L11" s="6" t="s">
        <v>43</v>
      </c>
      <c r="M11" s="6" t="s">
        <v>59</v>
      </c>
    </row>
    <row r="12" customFormat="false" ht="45" hidden="false" customHeight="true" outlineLevel="0" collapsed="false">
      <c r="A12" s="6" t="s">
        <v>99</v>
      </c>
      <c r="B12" s="7" t="s">
        <v>100</v>
      </c>
      <c r="C12" s="7" t="s">
        <v>101</v>
      </c>
      <c r="D12" s="7" t="s">
        <v>102</v>
      </c>
      <c r="E12" s="6" t="n">
        <v>2</v>
      </c>
      <c r="F12" s="6" t="n">
        <v>4</v>
      </c>
      <c r="G12" s="6" t="n">
        <f aca="false">E12*F12</f>
        <v>8</v>
      </c>
      <c r="H12" s="6" t="str">
        <f aca="false">IF(G12&gt;=15,"High",IF(G12&gt;=8,"Medium","Low"))</f>
        <v>Medium</v>
      </c>
      <c r="I12" s="7" t="s">
        <v>103</v>
      </c>
      <c r="J12" s="6" t="s">
        <v>56</v>
      </c>
      <c r="K12" s="7" t="s">
        <v>104</v>
      </c>
      <c r="L12" s="6" t="s">
        <v>105</v>
      </c>
      <c r="M12" s="6" t="s">
        <v>44</v>
      </c>
    </row>
    <row r="13" customFormat="false" ht="45" hidden="false" customHeight="true" outlineLevel="0" collapsed="false">
      <c r="A13" s="6" t="s">
        <v>106</v>
      </c>
      <c r="B13" s="7" t="s">
        <v>107</v>
      </c>
      <c r="C13" s="7" t="s">
        <v>108</v>
      </c>
      <c r="D13" s="7" t="s">
        <v>109</v>
      </c>
      <c r="E13" s="6" t="n">
        <v>2</v>
      </c>
      <c r="F13" s="6" t="n">
        <v>2</v>
      </c>
      <c r="G13" s="6" t="n">
        <f aca="false">E13*F13</f>
        <v>4</v>
      </c>
      <c r="H13" s="6" t="str">
        <f aca="false">IF(G13&gt;=15,"High",IF(G13&gt;=8,"Medium","Low"))</f>
        <v>Low</v>
      </c>
      <c r="I13" s="7" t="s">
        <v>110</v>
      </c>
      <c r="J13" s="6" t="s">
        <v>56</v>
      </c>
      <c r="K13" s="7" t="s">
        <v>111</v>
      </c>
      <c r="L13" s="6" t="s">
        <v>58</v>
      </c>
      <c r="M13" s="6" t="s">
        <v>35</v>
      </c>
    </row>
    <row r="14" customFormat="false" ht="45" hidden="false" customHeight="true" outlineLevel="0" collapsed="false">
      <c r="A14" s="6" t="s">
        <v>112</v>
      </c>
      <c r="B14" s="7" t="s">
        <v>113</v>
      </c>
      <c r="C14" s="7" t="s">
        <v>114</v>
      </c>
      <c r="D14" s="7" t="s">
        <v>115</v>
      </c>
      <c r="E14" s="6" t="n">
        <v>2</v>
      </c>
      <c r="F14" s="6" t="n">
        <v>3</v>
      </c>
      <c r="G14" s="6" t="n">
        <f aca="false">E14*F14</f>
        <v>6</v>
      </c>
      <c r="H14" s="6" t="str">
        <f aca="false">IF(G14&gt;=15,"High",IF(G14&gt;=8,"Medium","Low"))</f>
        <v>Low</v>
      </c>
      <c r="I14" s="7" t="s">
        <v>116</v>
      </c>
      <c r="J14" s="6" t="s">
        <v>56</v>
      </c>
      <c r="K14" s="7" t="s">
        <v>117</v>
      </c>
      <c r="L14" s="6" t="s">
        <v>58</v>
      </c>
      <c r="M14" s="6" t="s">
        <v>59</v>
      </c>
    </row>
    <row r="15" customFormat="false" ht="45" hidden="false" customHeight="true" outlineLevel="0" collapsed="false">
      <c r="A15" s="6" t="s">
        <v>118</v>
      </c>
      <c r="B15" s="7" t="s">
        <v>119</v>
      </c>
      <c r="C15" s="7" t="s">
        <v>120</v>
      </c>
      <c r="D15" s="7" t="s">
        <v>121</v>
      </c>
      <c r="E15" s="6" t="n">
        <v>2</v>
      </c>
      <c r="F15" s="6" t="n">
        <v>2</v>
      </c>
      <c r="G15" s="6" t="n">
        <f aca="false">E15*F15</f>
        <v>4</v>
      </c>
      <c r="H15" s="6" t="str">
        <f aca="false">IF(G15&gt;=15,"High",IF(G15&gt;=8,"Medium","Low"))</f>
        <v>Low</v>
      </c>
      <c r="I15" s="7" t="s">
        <v>84</v>
      </c>
      <c r="J15" s="6" t="s">
        <v>41</v>
      </c>
      <c r="K15" s="7" t="s">
        <v>122</v>
      </c>
      <c r="L15" s="6" t="s">
        <v>58</v>
      </c>
      <c r="M15" s="6" t="s">
        <v>35</v>
      </c>
    </row>
  </sheetData>
  <conditionalFormatting sqref="H2:H15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1">
      <formula>"Medium (unverified)"</formula>
    </cfRule>
    <cfRule type="cellIs" priority="5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8" t="s">
        <v>123</v>
      </c>
    </row>
    <row r="3" customFormat="false" ht="15" hidden="false" customHeight="false" outlineLevel="0" collapsed="false">
      <c r="A3" s="9" t="s">
        <v>124</v>
      </c>
      <c r="B3" s="10" t="n">
        <f aca="false">COUNTA('Risk Register'!A2:A15)</f>
        <v>14</v>
      </c>
    </row>
    <row r="5" customFormat="false" ht="15" hidden="false" customHeight="false" outlineLevel="0" collapsed="false">
      <c r="A5" s="11" t="s">
        <v>125</v>
      </c>
    </row>
    <row r="6" customFormat="false" ht="15" hidden="false" customHeight="false" outlineLevel="0" collapsed="false">
      <c r="A6" s="9" t="s">
        <v>32</v>
      </c>
      <c r="B6" s="10" t="n">
        <f aca="false">COUNTIF('Risk Register'!H2:H15,"High")</f>
        <v>2</v>
      </c>
    </row>
    <row r="7" customFormat="false" ht="15" hidden="false" customHeight="false" outlineLevel="0" collapsed="false">
      <c r="A7" s="9" t="s">
        <v>41</v>
      </c>
      <c r="B7" s="10" t="n">
        <f aca="false">COUNTIF('Risk Register'!H2:H15,"Medium")+COUNTIF('Risk Register'!H2:H15,"Medium (unverified)")</f>
        <v>6</v>
      </c>
    </row>
    <row r="8" customFormat="false" ht="15" hidden="false" customHeight="false" outlineLevel="0" collapsed="false">
      <c r="A8" s="9" t="s">
        <v>56</v>
      </c>
      <c r="B8" s="10" t="n">
        <f aca="false">COUNTIF('Risk Register'!H2:H15,"Low")</f>
        <v>6</v>
      </c>
    </row>
    <row r="10" customFormat="false" ht="15" hidden="false" customHeight="false" outlineLevel="0" collapsed="false">
      <c r="A10" s="11" t="s">
        <v>126</v>
      </c>
    </row>
    <row r="11" customFormat="false" ht="15" hidden="false" customHeight="false" outlineLevel="0" collapsed="false">
      <c r="A11" s="9" t="s">
        <v>35</v>
      </c>
      <c r="B11" s="10" t="n">
        <f aca="false">COUNTIF('Risk Register'!M2:M15,"Open")+COUNTIF('Risk Register'!M2:M15,"Open — pending verification")</f>
        <v>5</v>
      </c>
    </row>
    <row r="12" customFormat="false" ht="15" hidden="false" customHeight="false" outlineLevel="0" collapsed="false">
      <c r="A12" s="9" t="s">
        <v>44</v>
      </c>
      <c r="B12" s="10" t="n">
        <f aca="false">COUNTIF('Risk Register'!M2:M15,"Partially Mitigated")</f>
        <v>3</v>
      </c>
    </row>
    <row r="13" customFormat="false" ht="15" hidden="false" customHeight="false" outlineLevel="0" collapsed="false">
      <c r="A13" s="9" t="s">
        <v>59</v>
      </c>
      <c r="B13" s="10" t="n">
        <f aca="false">COUNTIF('Risk Register'!M2:M15,"Mitigated")</f>
        <v>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2026-09-22T06:01:21Z</dcterms:created>
  <dc:creator>openpyxl</dc:creator>
  <dc:description/>
  <dc:language>en-US</dc:language>
  <cp:lastModifiedBy/>
  <dcterms:modified xsi:type="dcterms:W3CDTF">2026-09-22T06:01:21Z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